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8BE67C3-BEB2-403D-8789-6210071F6B28}" xr6:coauthVersionLast="47" xr6:coauthVersionMax="47" xr10:uidLastSave="{00000000-0000-0000-0000-000000000000}"/>
  <bookViews>
    <workbookView xWindow="28680" yWindow="-120" windowWidth="24240" windowHeight="13140" xr2:uid="{EE50D7AF-9173-4210-8462-03866406F222}"/>
  </bookViews>
  <sheets>
    <sheet name="Ferramenta" sheetId="1" r:id="rId1"/>
    <sheet name="Base" sheetId="2" r:id="rId2"/>
  </sheets>
  <definedNames>
    <definedName name="investimento_mensal">Ferramenta!$E$13</definedName>
    <definedName name="patrimonio_acumulado">Ferramenta!$I$12</definedName>
    <definedName name="periodo">Ferramenta!$E$14</definedName>
    <definedName name="rendimento_carteira">Ferramenta!$I$11</definedName>
    <definedName name="salario">Ferramenta!$E$11</definedName>
    <definedName name="sugestao">Ferramenta!$E$12</definedName>
    <definedName name="taxa_mensal">Ferramenta!$I$10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D21" i="1"/>
  <c r="E21" i="1" s="1"/>
  <c r="D22" i="1"/>
  <c r="E22" i="1" s="1"/>
  <c r="D23" i="1"/>
  <c r="E23" i="1" s="1"/>
  <c r="D24" i="1"/>
  <c r="E24" i="1" s="1"/>
  <c r="D25" i="1"/>
  <c r="E25" i="1" s="1"/>
  <c r="D20" i="1"/>
  <c r="E20" i="1" s="1"/>
  <c r="H5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I12" i="1"/>
  <c r="H21" i="1"/>
  <c r="I21" i="1" s="1"/>
  <c r="H22" i="1"/>
  <c r="I22" i="1" s="1"/>
  <c r="H23" i="1"/>
  <c r="I23" i="1" s="1"/>
  <c r="H24" i="1"/>
  <c r="I24" i="1" s="1"/>
  <c r="H20" i="1"/>
  <c r="I20" i="1" s="1"/>
  <c r="E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10" authorId="0" shapeId="0" xr:uid="{B3AACC85-FA1C-47D7-8122-4C41AD22768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Escolha seu perfil de investidor. Caso não saiba qual escolher, acesse: https://www.santander.com.br/blog/perfil-investidor
</t>
        </r>
      </text>
    </comment>
    <comment ref="E11" authorId="0" shapeId="0" xr:uid="{DA535B4E-F154-4C90-A268-9417036E6BDC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Insira a soma dos rendimentos mensais líquidos.</t>
        </r>
      </text>
    </comment>
    <comment ref="E13" authorId="0" shapeId="0" xr:uid="{B52E895B-345F-4646-91D4-168148444766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Caso não concorde com o valor de Investimento Mensal Sugerido, digite o valor de seu interesse.</t>
        </r>
      </text>
    </comment>
    <comment ref="E14" authorId="0" shapeId="0" xr:uid="{CC922B0A-3899-4D55-8510-B22DD98AF95C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Defina o prazo do investimento.</t>
        </r>
      </text>
    </comment>
  </commentList>
</comments>
</file>

<file path=xl/sharedStrings.xml><?xml version="1.0" encoding="utf-8"?>
<sst xmlns="http://schemas.openxmlformats.org/spreadsheetml/2006/main" count="66" uniqueCount="30">
  <si>
    <t>Por quantos anos?</t>
  </si>
  <si>
    <t>Patrimônio Acumulado</t>
  </si>
  <si>
    <t>Taxa de rendimento mensal</t>
  </si>
  <si>
    <t>Dividendos</t>
  </si>
  <si>
    <t>Anos</t>
  </si>
  <si>
    <t>Cenários</t>
  </si>
  <si>
    <t>Salário</t>
  </si>
  <si>
    <t>Informações Base</t>
  </si>
  <si>
    <t>Painel de Investimento</t>
  </si>
  <si>
    <t>Perfil</t>
  </si>
  <si>
    <t>Agressivo</t>
  </si>
  <si>
    <t>Tipo de FII</t>
  </si>
  <si>
    <t>Percentual Sugerido</t>
  </si>
  <si>
    <t>Valor</t>
  </si>
  <si>
    <t>Papel</t>
  </si>
  <si>
    <t>Tijolo</t>
  </si>
  <si>
    <t>Híbridos</t>
  </si>
  <si>
    <t>FOF's</t>
  </si>
  <si>
    <t>Desenvolvimento</t>
  </si>
  <si>
    <t>Hotelarias</t>
  </si>
  <si>
    <t>Conservador</t>
  </si>
  <si>
    <t>%</t>
  </si>
  <si>
    <t>Chave</t>
  </si>
  <si>
    <t>Moderado</t>
  </si>
  <si>
    <t>Total</t>
  </si>
  <si>
    <t>Carteira Sugerida</t>
  </si>
  <si>
    <t>Investimento Mensal Sugerido (10%)</t>
  </si>
  <si>
    <t>Investimento Mensal</t>
  </si>
  <si>
    <t>Taxa de retorno de dividendos</t>
  </si>
  <si>
    <t>Calculadora de Patrimônio e Dividendos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</si>
</sst>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0.000%"/>
    <numFmt numFmtId="166" formatCode="&quot;R$&quot;\ #,##0.000;[Red]\-&quot;R$&quot;\ #,##0.000"/>
    <numFmt numFmtId="168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Arial Black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0" applyFont="1" applyFill="1"/>
    <xf numFmtId="9" fontId="0" fillId="0" borderId="0" xfId="2" applyFont="1"/>
    <xf numFmtId="9" fontId="0" fillId="0" borderId="0" xfId="0" applyNumberFormat="1"/>
    <xf numFmtId="0" fontId="0" fillId="0" borderId="2" xfId="0" applyBorder="1"/>
    <xf numFmtId="0" fontId="0" fillId="0" borderId="1" xfId="0" applyBorder="1" applyAlignment="1"/>
    <xf numFmtId="0" fontId="0" fillId="0" borderId="0" xfId="0" applyBorder="1"/>
    <xf numFmtId="0" fontId="3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6" xfId="0" applyBorder="1"/>
    <xf numFmtId="0" fontId="0" fillId="0" borderId="0" xfId="0" applyBorder="1" applyAlignment="1">
      <alignment horizontal="left"/>
    </xf>
    <xf numFmtId="0" fontId="0" fillId="0" borderId="7" xfId="0" applyBorder="1"/>
    <xf numFmtId="0" fontId="0" fillId="0" borderId="0" xfId="0" applyBorder="1" applyAlignment="1">
      <alignment horizontal="center"/>
    </xf>
    <xf numFmtId="9" fontId="0" fillId="0" borderId="0" xfId="2" applyFon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0" fillId="0" borderId="0" xfId="0" applyNumberForma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left"/>
    </xf>
    <xf numFmtId="168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/>
    </xf>
    <xf numFmtId="165" fontId="0" fillId="0" borderId="15" xfId="0" applyNumberFormat="1" applyBorder="1" applyAlignment="1">
      <alignment horizontal="center" vertical="center"/>
    </xf>
    <xf numFmtId="10" fontId="0" fillId="0" borderId="15" xfId="2" applyNumberFormat="1" applyFont="1" applyBorder="1" applyAlignment="1">
      <alignment horizontal="center" vertical="center"/>
    </xf>
    <xf numFmtId="8" fontId="0" fillId="0" borderId="1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8" fontId="0" fillId="0" borderId="15" xfId="0" applyNumberFormat="1" applyBorder="1"/>
    <xf numFmtId="168" fontId="0" fillId="0" borderId="17" xfId="0" applyNumberForma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168" fontId="0" fillId="4" borderId="15" xfId="0" applyNumberFormat="1" applyFill="1" applyBorder="1" applyAlignment="1">
      <alignment horizontal="center" vertical="center"/>
    </xf>
    <xf numFmtId="168" fontId="0" fillId="4" borderId="15" xfId="1" applyNumberFormat="1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Carteira Sugerida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Ferramenta!$D$19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Ferramenta!$C$20:$C$25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Ferramenta!$D$20:$D$25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0-4F83-884D-74F6C77F6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de Dividendos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348434785944034"/>
          <c:y val="0.17123730378578025"/>
          <c:w val="0.76928531115238985"/>
          <c:h val="0.72166081386641079"/>
        </c:manualLayout>
      </c:layout>
      <c:scatterChart>
        <c:scatterStyle val="lineMarker"/>
        <c:varyColors val="0"/>
        <c:ser>
          <c:idx val="0"/>
          <c:order val="0"/>
          <c:tx>
            <c:strRef>
              <c:f>Ferramenta!$I$19</c:f>
              <c:strCache>
                <c:ptCount val="1"/>
                <c:pt idx="0">
                  <c:v>Dividendos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Ferramenta!$G$20:$G$24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xVal>
          <c:yVal>
            <c:numRef>
              <c:f>Ferramenta!$I$20:$I$24</c:f>
              <c:numCache>
                <c:formatCode>"R$"\ #,##0.000;[Red]\-"R$"\ #,##0.000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8-4200-BD0A-81FC432A1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247087"/>
        <c:axId val="1461247567"/>
      </c:scatterChart>
      <c:valAx>
        <c:axId val="146124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1247567"/>
        <c:crosses val="autoZero"/>
        <c:crossBetween val="midCat"/>
      </c:valAx>
      <c:valAx>
        <c:axId val="14612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0;[Red]\-&quot;R$&quot;\ 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124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</xdr:colOff>
      <xdr:row>26</xdr:row>
      <xdr:rowOff>149542</xdr:rowOff>
    </xdr:from>
    <xdr:to>
      <xdr:col>5</xdr:col>
      <xdr:colOff>0</xdr:colOff>
      <xdr:row>41</xdr:row>
      <xdr:rowOff>112395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0836C9-4D9B-ECDB-8B5A-84B23B1A2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493394</xdr:colOff>
      <xdr:row>26</xdr:row>
      <xdr:rowOff>135255</xdr:rowOff>
    </xdr:from>
    <xdr:to>
      <xdr:col>8</xdr:col>
      <xdr:colOff>1162049</xdr:colOff>
      <xdr:row>41</xdr:row>
      <xdr:rowOff>60959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2226F2-1172-229E-89A9-7E26281C5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63B0-C95C-4E36-BC7E-9C30967408E4}">
  <dimension ref="A1:K44"/>
  <sheetViews>
    <sheetView showGridLines="0" tabSelected="1" workbookViewId="0">
      <selection activeCell="E10" sqref="E10"/>
    </sheetView>
  </sheetViews>
  <sheetFormatPr defaultColWidth="0" defaultRowHeight="14.4" zeroHeight="1" x14ac:dyDescent="0.3"/>
  <cols>
    <col min="1" max="1" width="2.6640625" customWidth="1"/>
    <col min="2" max="2" width="3.5546875" customWidth="1"/>
    <col min="3" max="5" width="20.21875" customWidth="1"/>
    <col min="6" max="6" width="8.88671875" customWidth="1"/>
    <col min="7" max="9" width="20.21875" customWidth="1"/>
    <col min="10" max="10" width="3.5546875" customWidth="1"/>
    <col min="11" max="11" width="2.6640625" customWidth="1"/>
    <col min="12" max="16384" width="8.88671875" hidden="1"/>
  </cols>
  <sheetData>
    <row r="1" spans="1:10" ht="15" thickBot="1" x14ac:dyDescent="0.35"/>
    <row r="2" spans="1:10" ht="13.2" customHeight="1" x14ac:dyDescent="0.3">
      <c r="B2" s="20"/>
      <c r="C2" s="21"/>
      <c r="D2" s="21"/>
      <c r="E2" s="21"/>
      <c r="F2" s="21"/>
      <c r="G2" s="21"/>
      <c r="H2" s="21"/>
      <c r="I2" s="21"/>
      <c r="J2" s="22"/>
    </row>
    <row r="3" spans="1:10" x14ac:dyDescent="0.3">
      <c r="B3" s="10"/>
      <c r="C3" s="7" t="s">
        <v>29</v>
      </c>
      <c r="D3" s="7"/>
      <c r="E3" s="7"/>
      <c r="F3" s="7"/>
      <c r="G3" s="7"/>
      <c r="H3" s="7"/>
      <c r="I3" s="7"/>
      <c r="J3" s="12"/>
    </row>
    <row r="4" spans="1:10" x14ac:dyDescent="0.3">
      <c r="B4" s="10"/>
      <c r="C4" s="7"/>
      <c r="D4" s="7"/>
      <c r="E4" s="7"/>
      <c r="F4" s="7"/>
      <c r="G4" s="7"/>
      <c r="H4" s="7"/>
      <c r="I4" s="7"/>
      <c r="J4" s="12"/>
    </row>
    <row r="5" spans="1:10" x14ac:dyDescent="0.3">
      <c r="B5" s="10"/>
      <c r="C5" s="7"/>
      <c r="D5" s="7"/>
      <c r="E5" s="7"/>
      <c r="F5" s="7"/>
      <c r="G5" s="7"/>
      <c r="H5" s="7"/>
      <c r="I5" s="7"/>
      <c r="J5" s="12"/>
    </row>
    <row r="6" spans="1:10" ht="18.600000000000001" customHeight="1" x14ac:dyDescent="0.3">
      <c r="B6" s="10"/>
      <c r="C6" s="7"/>
      <c r="D6" s="7"/>
      <c r="E6" s="7"/>
      <c r="F6" s="7"/>
      <c r="G6" s="7"/>
      <c r="H6" s="7"/>
      <c r="I6" s="7"/>
      <c r="J6" s="12"/>
    </row>
    <row r="7" spans="1:10" ht="18.600000000000001" customHeight="1" x14ac:dyDescent="0.3">
      <c r="B7" s="10"/>
      <c r="C7" s="8"/>
      <c r="D7" s="8"/>
      <c r="E7" s="8"/>
      <c r="F7" s="8"/>
      <c r="G7" s="8"/>
      <c r="H7" s="8"/>
      <c r="I7" s="8"/>
      <c r="J7" s="12"/>
    </row>
    <row r="8" spans="1:10" ht="18.600000000000001" customHeight="1" x14ac:dyDescent="0.3">
      <c r="B8" s="10"/>
      <c r="C8" s="24" t="s">
        <v>7</v>
      </c>
      <c r="D8" s="25"/>
      <c r="E8" s="26"/>
      <c r="F8" s="6"/>
      <c r="G8" s="24" t="s">
        <v>8</v>
      </c>
      <c r="H8" s="25"/>
      <c r="I8" s="26"/>
      <c r="J8" s="12"/>
    </row>
    <row r="9" spans="1:10" ht="18.600000000000001" customHeight="1" x14ac:dyDescent="0.3">
      <c r="B9" s="10"/>
      <c r="C9" s="27"/>
      <c r="D9" s="9"/>
      <c r="E9" s="28"/>
      <c r="F9" s="6"/>
      <c r="G9" s="27"/>
      <c r="H9" s="9"/>
      <c r="I9" s="28"/>
      <c r="J9" s="12"/>
    </row>
    <row r="10" spans="1:10" ht="18.600000000000001" customHeight="1" x14ac:dyDescent="0.3">
      <c r="B10" s="10"/>
      <c r="C10" s="30" t="s">
        <v>9</v>
      </c>
      <c r="D10" s="11"/>
      <c r="E10" s="49"/>
      <c r="F10" s="6"/>
      <c r="G10" s="30" t="s">
        <v>2</v>
      </c>
      <c r="H10" s="11"/>
      <c r="I10" s="34">
        <v>1.0789999999999999E-2</v>
      </c>
      <c r="J10" s="12"/>
    </row>
    <row r="11" spans="1:10" ht="18.600000000000001" customHeight="1" x14ac:dyDescent="0.3">
      <c r="B11" s="10"/>
      <c r="C11" s="30" t="s">
        <v>6</v>
      </c>
      <c r="D11" s="11"/>
      <c r="E11" s="50"/>
      <c r="F11" s="6"/>
      <c r="G11" s="29" t="s">
        <v>28</v>
      </c>
      <c r="H11" s="6"/>
      <c r="I11" s="35">
        <v>6.0000000000000001E-3</v>
      </c>
      <c r="J11" s="12"/>
    </row>
    <row r="12" spans="1:10" x14ac:dyDescent="0.3">
      <c r="B12" s="10"/>
      <c r="C12" s="30" t="s">
        <v>26</v>
      </c>
      <c r="D12" s="11"/>
      <c r="E12" s="31">
        <f>E11*0.1</f>
        <v>0</v>
      </c>
      <c r="F12" s="6"/>
      <c r="G12" s="32" t="s">
        <v>1</v>
      </c>
      <c r="H12" s="33"/>
      <c r="I12" s="36">
        <f>FV(taxa_mensal,periodo*12,investimento_mensal,0)*-1</f>
        <v>0</v>
      </c>
      <c r="J12" s="12"/>
    </row>
    <row r="13" spans="1:10" x14ac:dyDescent="0.3">
      <c r="B13" s="10"/>
      <c r="C13" s="30" t="s">
        <v>27</v>
      </c>
      <c r="D13" s="11"/>
      <c r="E13" s="51"/>
      <c r="F13" s="6"/>
      <c r="G13" s="11"/>
      <c r="H13" s="11"/>
      <c r="I13" s="19"/>
      <c r="J13" s="12"/>
    </row>
    <row r="14" spans="1:10" x14ac:dyDescent="0.3">
      <c r="B14" s="10"/>
      <c r="C14" s="32" t="s">
        <v>0</v>
      </c>
      <c r="D14" s="33"/>
      <c r="E14" s="52"/>
      <c r="F14" s="6"/>
      <c r="G14" s="6"/>
      <c r="H14" s="6"/>
      <c r="I14" s="6"/>
      <c r="J14" s="12"/>
    </row>
    <row r="15" spans="1:10" x14ac:dyDescent="0.3">
      <c r="B15" s="10"/>
      <c r="C15" s="11"/>
      <c r="D15" s="11"/>
      <c r="E15" s="6"/>
      <c r="F15" s="6"/>
      <c r="G15" s="6"/>
      <c r="H15" s="6"/>
      <c r="I15" s="6"/>
      <c r="J15" s="12"/>
    </row>
    <row r="16" spans="1:10" x14ac:dyDescent="0.3">
      <c r="A16" s="1"/>
      <c r="B16" s="23"/>
      <c r="C16" s="6"/>
      <c r="D16" s="6"/>
      <c r="E16" s="6"/>
      <c r="F16" s="6"/>
      <c r="G16" s="6"/>
      <c r="H16" s="6"/>
      <c r="I16" s="6"/>
      <c r="J16" s="12"/>
    </row>
    <row r="17" spans="1:10" x14ac:dyDescent="0.3">
      <c r="A17" s="1"/>
      <c r="B17" s="23"/>
      <c r="C17" s="24" t="s">
        <v>25</v>
      </c>
      <c r="D17" s="25"/>
      <c r="E17" s="26"/>
      <c r="F17" s="6"/>
      <c r="G17" s="24" t="s">
        <v>5</v>
      </c>
      <c r="H17" s="25"/>
      <c r="I17" s="26"/>
      <c r="J17" s="12"/>
    </row>
    <row r="18" spans="1:10" x14ac:dyDescent="0.3">
      <c r="A18" s="1"/>
      <c r="B18" s="23"/>
      <c r="C18" s="27"/>
      <c r="D18" s="9"/>
      <c r="E18" s="28"/>
      <c r="F18" s="6"/>
      <c r="G18" s="27"/>
      <c r="H18" s="9"/>
      <c r="I18" s="28"/>
      <c r="J18" s="12"/>
    </row>
    <row r="19" spans="1:10" x14ac:dyDescent="0.3">
      <c r="A19" s="1"/>
      <c r="B19" s="23"/>
      <c r="C19" s="29" t="s">
        <v>11</v>
      </c>
      <c r="D19" s="6" t="s">
        <v>12</v>
      </c>
      <c r="E19" s="37" t="s">
        <v>13</v>
      </c>
      <c r="F19" s="6"/>
      <c r="G19" s="40" t="s">
        <v>4</v>
      </c>
      <c r="H19" s="13" t="s">
        <v>1</v>
      </c>
      <c r="I19" s="41" t="s">
        <v>3</v>
      </c>
      <c r="J19" s="12"/>
    </row>
    <row r="20" spans="1:10" x14ac:dyDescent="0.3">
      <c r="A20" s="1"/>
      <c r="B20" s="23"/>
      <c r="C20" s="29" t="s">
        <v>14</v>
      </c>
      <c r="D20" s="14" t="e">
        <f>VLOOKUP($E$10&amp;"-"&amp;C20,Base!A2:D20,4,FALSE)</f>
        <v>#N/A</v>
      </c>
      <c r="E20" s="38" t="e">
        <f>D20*investimento_mensal</f>
        <v>#N/A</v>
      </c>
      <c r="F20" s="6"/>
      <c r="G20" s="42">
        <v>2</v>
      </c>
      <c r="H20" s="15">
        <f>FV($I$10,G20*12,$E$13,0)*-1</f>
        <v>0</v>
      </c>
      <c r="I20" s="43">
        <f>H20*rendimento_carteira</f>
        <v>0</v>
      </c>
      <c r="J20" s="12"/>
    </row>
    <row r="21" spans="1:10" x14ac:dyDescent="0.3">
      <c r="B21" s="10"/>
      <c r="C21" s="29" t="s">
        <v>15</v>
      </c>
      <c r="D21" s="14" t="e">
        <f>VLOOKUP($E$10&amp;"-"&amp;C21,Base!A3:D21,4,FALSE)</f>
        <v>#N/A</v>
      </c>
      <c r="E21" s="38" t="e">
        <f>D21*investimento_mensal</f>
        <v>#N/A</v>
      </c>
      <c r="F21" s="6"/>
      <c r="G21" s="42">
        <v>5</v>
      </c>
      <c r="H21" s="15">
        <f>FV($I$10,G21*12,$E$13,0)*-1</f>
        <v>0</v>
      </c>
      <c r="I21" s="43">
        <f>H21*rendimento_carteira</f>
        <v>0</v>
      </c>
      <c r="J21" s="12"/>
    </row>
    <row r="22" spans="1:10" x14ac:dyDescent="0.3">
      <c r="B22" s="10"/>
      <c r="C22" s="29" t="s">
        <v>16</v>
      </c>
      <c r="D22" s="14" t="e">
        <f>VLOOKUP($E$10&amp;"-"&amp;C22,Base!A4:D22,4,FALSE)</f>
        <v>#N/A</v>
      </c>
      <c r="E22" s="38" t="e">
        <f>D22*investimento_mensal</f>
        <v>#N/A</v>
      </c>
      <c r="F22" s="6"/>
      <c r="G22" s="42">
        <v>10</v>
      </c>
      <c r="H22" s="15">
        <f>FV($I$10,G22*12,$E$13,0)*-1</f>
        <v>0</v>
      </c>
      <c r="I22" s="43">
        <f>H22*rendimento_carteira</f>
        <v>0</v>
      </c>
      <c r="J22" s="12"/>
    </row>
    <row r="23" spans="1:10" x14ac:dyDescent="0.3">
      <c r="B23" s="10"/>
      <c r="C23" s="29" t="s">
        <v>17</v>
      </c>
      <c r="D23" s="14" t="e">
        <f>VLOOKUP($E$10&amp;"-"&amp;C23,Base!A5:D23,4,FALSE)</f>
        <v>#N/A</v>
      </c>
      <c r="E23" s="38" t="e">
        <f>D23*investimento_mensal</f>
        <v>#N/A</v>
      </c>
      <c r="F23" s="6"/>
      <c r="G23" s="42">
        <v>20</v>
      </c>
      <c r="H23" s="15">
        <f>FV($I$10,G23*12,$E$13,0)*-1</f>
        <v>0</v>
      </c>
      <c r="I23" s="43">
        <f>H23*rendimento_carteira</f>
        <v>0</v>
      </c>
      <c r="J23" s="12"/>
    </row>
    <row r="24" spans="1:10" x14ac:dyDescent="0.3">
      <c r="B24" s="10"/>
      <c r="C24" s="29" t="s">
        <v>18</v>
      </c>
      <c r="D24" s="14" t="e">
        <f>VLOOKUP($E$10&amp;"-"&amp;C24,Base!A6:D24,4,FALSE)</f>
        <v>#N/A</v>
      </c>
      <c r="E24" s="38" t="e">
        <f>D24*investimento_mensal</f>
        <v>#N/A</v>
      </c>
      <c r="F24" s="6"/>
      <c r="G24" s="44">
        <v>30</v>
      </c>
      <c r="H24" s="45">
        <f>FV($I$10,G24*12,$E$13,0)*-1</f>
        <v>0</v>
      </c>
      <c r="I24" s="46">
        <f>H24*rendimento_carteira</f>
        <v>0</v>
      </c>
      <c r="J24" s="12"/>
    </row>
    <row r="25" spans="1:10" x14ac:dyDescent="0.3">
      <c r="B25" s="10"/>
      <c r="C25" s="29" t="s">
        <v>19</v>
      </c>
      <c r="D25" s="14" t="e">
        <f>VLOOKUP($E$10&amp;"-"&amp;C25,Base!A7:D25,4,FALSE)</f>
        <v>#N/A</v>
      </c>
      <c r="E25" s="38" t="e">
        <f>D25*investimento_mensal</f>
        <v>#N/A</v>
      </c>
      <c r="F25" s="6"/>
      <c r="G25" s="6"/>
      <c r="H25" s="6"/>
      <c r="I25" s="6"/>
      <c r="J25" s="12"/>
    </row>
    <row r="26" spans="1:10" x14ac:dyDescent="0.3">
      <c r="B26" s="10"/>
      <c r="C26" s="48" t="s">
        <v>24</v>
      </c>
      <c r="D26" s="47"/>
      <c r="E26" s="39" t="e">
        <f>SUM(E20:E25)</f>
        <v>#N/A</v>
      </c>
      <c r="F26" s="6"/>
      <c r="G26" s="6"/>
      <c r="H26" s="6"/>
      <c r="I26" s="6"/>
      <c r="J26" s="12"/>
    </row>
    <row r="27" spans="1:10" x14ac:dyDescent="0.3">
      <c r="B27" s="10"/>
      <c r="C27" s="6"/>
      <c r="D27" s="6"/>
      <c r="E27" s="6"/>
      <c r="F27" s="6"/>
      <c r="G27" s="6"/>
      <c r="H27" s="6"/>
      <c r="I27" s="6"/>
      <c r="J27" s="12"/>
    </row>
    <row r="28" spans="1:10" x14ac:dyDescent="0.3">
      <c r="B28" s="10"/>
      <c r="C28" s="6"/>
      <c r="D28" s="6"/>
      <c r="E28" s="6"/>
      <c r="F28" s="6"/>
      <c r="G28" s="6"/>
      <c r="H28" s="6"/>
      <c r="I28" s="6"/>
      <c r="J28" s="12"/>
    </row>
    <row r="29" spans="1:10" x14ac:dyDescent="0.3">
      <c r="B29" s="10"/>
      <c r="C29" s="6"/>
      <c r="D29" s="6"/>
      <c r="E29" s="6"/>
      <c r="F29" s="6"/>
      <c r="G29" s="6"/>
      <c r="H29" s="6"/>
      <c r="I29" s="6"/>
      <c r="J29" s="12"/>
    </row>
    <row r="30" spans="1:10" x14ac:dyDescent="0.3">
      <c r="B30" s="10"/>
      <c r="C30" s="6"/>
      <c r="D30" s="6"/>
      <c r="E30" s="6"/>
      <c r="F30" s="6"/>
      <c r="G30" s="6"/>
      <c r="H30" s="6"/>
      <c r="I30" s="6"/>
      <c r="J30" s="12"/>
    </row>
    <row r="31" spans="1:10" x14ac:dyDescent="0.3">
      <c r="B31" s="10"/>
      <c r="C31" s="6"/>
      <c r="D31" s="6"/>
      <c r="E31" s="6"/>
      <c r="F31" s="6"/>
      <c r="G31" s="6"/>
      <c r="H31" s="6"/>
      <c r="I31" s="6"/>
      <c r="J31" s="12"/>
    </row>
    <row r="32" spans="1:10" x14ac:dyDescent="0.3">
      <c r="B32" s="10"/>
      <c r="C32" s="6"/>
      <c r="D32" s="6"/>
      <c r="E32" s="6"/>
      <c r="F32" s="6"/>
      <c r="G32" s="6"/>
      <c r="H32" s="6"/>
      <c r="I32" s="6"/>
      <c r="J32" s="12"/>
    </row>
    <row r="33" spans="2:10" x14ac:dyDescent="0.3">
      <c r="B33" s="10"/>
      <c r="C33" s="6"/>
      <c r="D33" s="6"/>
      <c r="E33" s="6"/>
      <c r="F33" s="6"/>
      <c r="G33" s="6"/>
      <c r="H33" s="6"/>
      <c r="I33" s="6"/>
      <c r="J33" s="12"/>
    </row>
    <row r="34" spans="2:10" x14ac:dyDescent="0.3">
      <c r="B34" s="10"/>
      <c r="C34" s="6"/>
      <c r="D34" s="6"/>
      <c r="E34" s="6"/>
      <c r="F34" s="6"/>
      <c r="G34" s="6"/>
      <c r="H34" s="6"/>
      <c r="I34" s="6"/>
      <c r="J34" s="12"/>
    </row>
    <row r="35" spans="2:10" x14ac:dyDescent="0.3">
      <c r="B35" s="10"/>
      <c r="C35" s="6"/>
      <c r="D35" s="6"/>
      <c r="E35" s="6"/>
      <c r="F35" s="6"/>
      <c r="G35" s="6"/>
      <c r="H35" s="6"/>
      <c r="I35" s="6"/>
      <c r="J35" s="12"/>
    </row>
    <row r="36" spans="2:10" x14ac:dyDescent="0.3">
      <c r="B36" s="10"/>
      <c r="C36" s="6"/>
      <c r="D36" s="6"/>
      <c r="E36" s="6"/>
      <c r="F36" s="6"/>
      <c r="G36" s="6"/>
      <c r="H36" s="6"/>
      <c r="I36" s="6"/>
      <c r="J36" s="12"/>
    </row>
    <row r="37" spans="2:10" x14ac:dyDescent="0.3">
      <c r="B37" s="10"/>
      <c r="C37" s="6"/>
      <c r="D37" s="6"/>
      <c r="E37" s="6"/>
      <c r="F37" s="6"/>
      <c r="G37" s="6"/>
      <c r="H37" s="6"/>
      <c r="I37" s="6"/>
      <c r="J37" s="12"/>
    </row>
    <row r="38" spans="2:10" x14ac:dyDescent="0.3">
      <c r="B38" s="10"/>
      <c r="C38" s="6"/>
      <c r="D38" s="6"/>
      <c r="E38" s="6"/>
      <c r="F38" s="6"/>
      <c r="G38" s="6"/>
      <c r="H38" s="6"/>
      <c r="I38" s="6"/>
      <c r="J38" s="12"/>
    </row>
    <row r="39" spans="2:10" x14ac:dyDescent="0.3">
      <c r="B39" s="10"/>
      <c r="C39" s="6"/>
      <c r="D39" s="6"/>
      <c r="E39" s="6"/>
      <c r="F39" s="6"/>
      <c r="G39" s="6"/>
      <c r="H39" s="6"/>
      <c r="I39" s="6"/>
      <c r="J39" s="12"/>
    </row>
    <row r="40" spans="2:10" x14ac:dyDescent="0.3">
      <c r="B40" s="10"/>
      <c r="C40" s="6"/>
      <c r="D40" s="6"/>
      <c r="E40" s="6"/>
      <c r="F40" s="6"/>
      <c r="G40" s="6"/>
      <c r="H40" s="6"/>
      <c r="I40" s="6"/>
      <c r="J40" s="12"/>
    </row>
    <row r="41" spans="2:10" x14ac:dyDescent="0.3">
      <c r="B41" s="10"/>
      <c r="C41" s="6"/>
      <c r="D41" s="6"/>
      <c r="E41" s="6"/>
      <c r="F41" s="6"/>
      <c r="G41" s="6"/>
      <c r="H41" s="6"/>
      <c r="I41" s="6"/>
      <c r="J41" s="12"/>
    </row>
    <row r="42" spans="2:10" x14ac:dyDescent="0.3">
      <c r="B42" s="10"/>
      <c r="C42" s="6"/>
      <c r="D42" s="6"/>
      <c r="E42" s="6"/>
      <c r="F42" s="6"/>
      <c r="G42" s="6"/>
      <c r="H42" s="6"/>
      <c r="I42" s="6"/>
      <c r="J42" s="12"/>
    </row>
    <row r="43" spans="2:10" ht="13.2" customHeight="1" thickBot="1" x14ac:dyDescent="0.35">
      <c r="B43" s="16"/>
      <c r="C43" s="17"/>
      <c r="D43" s="17"/>
      <c r="E43" s="17"/>
      <c r="F43" s="17"/>
      <c r="G43" s="17"/>
      <c r="H43" s="17"/>
      <c r="I43" s="17"/>
      <c r="J43" s="18"/>
    </row>
    <row r="44" spans="2:10" x14ac:dyDescent="0.3"/>
  </sheetData>
  <mergeCells count="15">
    <mergeCell ref="C8:E9"/>
    <mergeCell ref="G8:I9"/>
    <mergeCell ref="C11:D11"/>
    <mergeCell ref="C15:D15"/>
    <mergeCell ref="C12:D12"/>
    <mergeCell ref="C10:D10"/>
    <mergeCell ref="C13:D13"/>
    <mergeCell ref="C14:D14"/>
    <mergeCell ref="G10:H10"/>
    <mergeCell ref="G12:H12"/>
    <mergeCell ref="G13:H13"/>
    <mergeCell ref="G17:I18"/>
    <mergeCell ref="C17:E18"/>
    <mergeCell ref="C3:I6"/>
    <mergeCell ref="C26:D26"/>
  </mergeCells>
  <dataValidations count="1">
    <dataValidation type="list" allowBlank="1" showInputMessage="1" showErrorMessage="1" sqref="E10" xr:uid="{97FB8A0C-245C-40B6-8007-E226599C30C4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06E8-50D7-4F2E-87A0-C364A82ED52D}">
  <dimension ref="A2:H20"/>
  <sheetViews>
    <sheetView showGridLines="0" workbookViewId="0">
      <selection activeCell="D13" sqref="D13"/>
    </sheetView>
  </sheetViews>
  <sheetFormatPr defaultRowHeight="14.4" x14ac:dyDescent="0.3"/>
  <cols>
    <col min="1" max="1" width="26.5546875" bestFit="1" customWidth="1"/>
    <col min="2" max="2" width="11.33203125" bestFit="1" customWidth="1"/>
    <col min="3" max="3" width="15.21875" bestFit="1" customWidth="1"/>
  </cols>
  <sheetData>
    <row r="2" spans="1:8" x14ac:dyDescent="0.3">
      <c r="A2" t="s">
        <v>22</v>
      </c>
      <c r="B2" t="s">
        <v>9</v>
      </c>
      <c r="C2" t="s">
        <v>11</v>
      </c>
      <c r="D2" t="s">
        <v>21</v>
      </c>
    </row>
    <row r="3" spans="1:8" x14ac:dyDescent="0.3">
      <c r="A3" t="str">
        <f>B3&amp;"-"&amp;C3</f>
        <v>Conservador-Papel</v>
      </c>
      <c r="B3" t="s">
        <v>20</v>
      </c>
      <c r="C3" t="s">
        <v>14</v>
      </c>
      <c r="D3" s="3">
        <v>0.3</v>
      </c>
    </row>
    <row r="4" spans="1:8" x14ac:dyDescent="0.3">
      <c r="A4" t="str">
        <f t="shared" ref="A4:A20" si="0">B4&amp;"-"&amp;C4</f>
        <v>Conservador-Tijolo</v>
      </c>
      <c r="B4" t="s">
        <v>20</v>
      </c>
      <c r="C4" t="s">
        <v>15</v>
      </c>
      <c r="D4" s="3">
        <v>0.5</v>
      </c>
    </row>
    <row r="5" spans="1:8" x14ac:dyDescent="0.3">
      <c r="A5" t="str">
        <f t="shared" si="0"/>
        <v>Conservador-Híbridos</v>
      </c>
      <c r="B5" t="s">
        <v>20</v>
      </c>
      <c r="C5" t="s">
        <v>16</v>
      </c>
      <c r="D5" s="3">
        <v>0.1</v>
      </c>
      <c r="H5" s="2">
        <f>VLOOKUP(A10,A3:D20,4,FALSE)</f>
        <v>0.35</v>
      </c>
    </row>
    <row r="6" spans="1:8" x14ac:dyDescent="0.3">
      <c r="A6" t="str">
        <f t="shared" si="0"/>
        <v>Conservador-FOF's</v>
      </c>
      <c r="B6" t="s">
        <v>20</v>
      </c>
      <c r="C6" t="s">
        <v>17</v>
      </c>
      <c r="D6" s="3">
        <v>0.1</v>
      </c>
    </row>
    <row r="7" spans="1:8" x14ac:dyDescent="0.3">
      <c r="A7" t="str">
        <f t="shared" si="0"/>
        <v>Conservador-Desenvolvimento</v>
      </c>
      <c r="B7" t="s">
        <v>20</v>
      </c>
      <c r="C7" t="s">
        <v>18</v>
      </c>
      <c r="D7" s="3">
        <v>0</v>
      </c>
    </row>
    <row r="8" spans="1:8" x14ac:dyDescent="0.3">
      <c r="A8" s="5" t="str">
        <f t="shared" si="0"/>
        <v>Conservador-Hotelarias</v>
      </c>
      <c r="B8" s="5" t="s">
        <v>20</v>
      </c>
      <c r="C8" s="5" t="s">
        <v>19</v>
      </c>
      <c r="D8" s="3">
        <v>0</v>
      </c>
    </row>
    <row r="9" spans="1:8" x14ac:dyDescent="0.3">
      <c r="A9" t="str">
        <f t="shared" si="0"/>
        <v>Moderado-Papel</v>
      </c>
      <c r="B9" t="s">
        <v>23</v>
      </c>
      <c r="C9" t="s">
        <v>14</v>
      </c>
      <c r="D9" s="3">
        <v>0.32</v>
      </c>
    </row>
    <row r="10" spans="1:8" x14ac:dyDescent="0.3">
      <c r="A10" t="str">
        <f t="shared" si="0"/>
        <v>Moderado-Tijolo</v>
      </c>
      <c r="B10" t="s">
        <v>23</v>
      </c>
      <c r="C10" t="s">
        <v>15</v>
      </c>
      <c r="D10" s="3">
        <v>0.35</v>
      </c>
    </row>
    <row r="11" spans="1:8" x14ac:dyDescent="0.3">
      <c r="A11" t="str">
        <f t="shared" si="0"/>
        <v>Moderado-Híbridos</v>
      </c>
      <c r="B11" t="s">
        <v>23</v>
      </c>
      <c r="C11" t="s">
        <v>16</v>
      </c>
      <c r="D11" s="3">
        <v>0.08</v>
      </c>
    </row>
    <row r="12" spans="1:8" x14ac:dyDescent="0.3">
      <c r="A12" t="str">
        <f t="shared" si="0"/>
        <v>Moderado-FOF's</v>
      </c>
      <c r="B12" t="s">
        <v>23</v>
      </c>
      <c r="C12" t="s">
        <v>17</v>
      </c>
      <c r="D12" s="3">
        <v>0.05</v>
      </c>
    </row>
    <row r="13" spans="1:8" x14ac:dyDescent="0.3">
      <c r="A13" t="str">
        <f t="shared" si="0"/>
        <v>Moderado-Desenvolvimento</v>
      </c>
      <c r="B13" t="s">
        <v>23</v>
      </c>
      <c r="C13" t="s">
        <v>18</v>
      </c>
      <c r="D13" s="3">
        <v>0.1</v>
      </c>
    </row>
    <row r="14" spans="1:8" x14ac:dyDescent="0.3">
      <c r="A14" s="4" t="str">
        <f t="shared" si="0"/>
        <v>Moderado-Hotelarias</v>
      </c>
      <c r="B14" s="4" t="s">
        <v>23</v>
      </c>
      <c r="C14" s="4" t="s">
        <v>19</v>
      </c>
      <c r="D14" s="3">
        <v>0.1</v>
      </c>
    </row>
    <row r="15" spans="1:8" x14ac:dyDescent="0.3">
      <c r="A15" t="str">
        <f t="shared" si="0"/>
        <v>Agressivo-Papel</v>
      </c>
      <c r="B15" t="s">
        <v>10</v>
      </c>
      <c r="C15" t="s">
        <v>14</v>
      </c>
      <c r="D15" s="3">
        <v>0.5</v>
      </c>
    </row>
    <row r="16" spans="1:8" x14ac:dyDescent="0.3">
      <c r="A16" t="str">
        <f t="shared" si="0"/>
        <v>Agressivo-Tijolo</v>
      </c>
      <c r="B16" t="s">
        <v>10</v>
      </c>
      <c r="C16" t="s">
        <v>15</v>
      </c>
      <c r="D16" s="3">
        <v>0.1</v>
      </c>
    </row>
    <row r="17" spans="1:4" x14ac:dyDescent="0.3">
      <c r="A17" t="str">
        <f t="shared" si="0"/>
        <v>Agressivo-Híbridos</v>
      </c>
      <c r="B17" t="s">
        <v>10</v>
      </c>
      <c r="C17" t="s">
        <v>16</v>
      </c>
      <c r="D17" s="3">
        <v>0.05</v>
      </c>
    </row>
    <row r="18" spans="1:4" x14ac:dyDescent="0.3">
      <c r="A18" t="str">
        <f t="shared" si="0"/>
        <v>Agressivo-FOF's</v>
      </c>
      <c r="B18" t="s">
        <v>10</v>
      </c>
      <c r="C18" t="s">
        <v>17</v>
      </c>
      <c r="D18" s="3">
        <v>0.05</v>
      </c>
    </row>
    <row r="19" spans="1:4" x14ac:dyDescent="0.3">
      <c r="A19" t="str">
        <f t="shared" si="0"/>
        <v>Agressivo-Desenvolvimento</v>
      </c>
      <c r="B19" t="s">
        <v>10</v>
      </c>
      <c r="C19" t="s">
        <v>18</v>
      </c>
      <c r="D19" s="3">
        <v>0.2</v>
      </c>
    </row>
    <row r="20" spans="1:4" x14ac:dyDescent="0.3">
      <c r="A20" t="str">
        <f t="shared" si="0"/>
        <v>Agressivo-Hotelarias</v>
      </c>
      <c r="B20" t="s">
        <v>10</v>
      </c>
      <c r="C20" t="s">
        <v>19</v>
      </c>
      <c r="D20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Ferramenta</vt:lpstr>
      <vt:lpstr>Base</vt:lpstr>
      <vt:lpstr>investimento_mensal</vt:lpstr>
      <vt:lpstr>patrimonio_acumulado</vt:lpstr>
      <vt:lpstr>periodo</vt:lpstr>
      <vt:lpstr>rendimento_carteira</vt:lpstr>
      <vt:lpstr>salario</vt:lpstr>
      <vt:lpstr>sugestao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M. Brusco''</dc:creator>
  <cp:lastModifiedBy>Eduardo M. Brusco''</cp:lastModifiedBy>
  <dcterms:created xsi:type="dcterms:W3CDTF">2026-01-06T13:35:14Z</dcterms:created>
  <dcterms:modified xsi:type="dcterms:W3CDTF">2026-01-06T16:48:13Z</dcterms:modified>
</cp:coreProperties>
</file>